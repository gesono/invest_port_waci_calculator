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ACI calculation" sheetId="2" state="visible" r:id="rId4"/>
    <sheet name="How it wor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Scope 1+2 weighted average carbon intensity, as published by the fund (factsheet or monthly report). Leave blank if not published.</t>
        </r>
      </text>
    </comment>
    <comment ref="E6" authorId="0">
      <text>
        <r>
          <rPr>
            <sz val="10"/>
            <rFont val="Arial"/>
            <family val="2"/>
          </rPr>
          <t xml:space="preserve">Label only: whether the fund quotes its WACI per $1m or per €1m of company revenue. No conversion is applied.</t>
        </r>
      </text>
    </comment>
    <comment ref="F6" authorId="0">
      <text>
        <r>
          <rPr>
            <sz val="10"/>
            <rFont val="Arial"/>
            <family val="2"/>
          </rPr>
          <t xml:space="preserve">Share of the fund's holdings that its WACI is based on, as reported by the fund. Enter as a percentage, e.g. 98%. Optional.</t>
        </r>
      </text>
    </comment>
  </commentList>
</comments>
</file>

<file path=xl/sharedStrings.xml><?xml version="1.0" encoding="utf-8"?>
<sst xmlns="http://schemas.openxmlformats.org/spreadsheetml/2006/main" count="118" uniqueCount="107">
  <si>
    <t xml:space="preserve">Portfolio WACI – sample calculation</t>
  </si>
  <si>
    <t xml:space="preserve">A step-by-step worked example of how the portfolio carbon intensity calculator (v1) works. Every result is a live formula, so you can change the inputs and watch the numbers update.</t>
  </si>
  <si>
    <t xml:space="preserve">HOW TO USE</t>
  </si>
  <si>
    <t xml:space="preserve">1. Go to the 'WACI calculation' tab.</t>
  </si>
  <si>
    <t xml:space="preserve">2. Replace the blue cells on the yellow background with your own funds (up to 10 rows). Leave a WACI cell blank if the fund doesn't publish one.</t>
  </si>
  <si>
    <t xml:space="preserve">3. Read the results in the green box. The 'How it works' tab explains each step with the example's own numbers.</t>
  </si>
  <si>
    <t xml:space="preserve">COLOUR KEY</t>
  </si>
  <si>
    <t xml:space="preserve">Blue text on yellow = inputs you can change.  Black text = formulas (don't edit).  Green text = values linked from another tab.  Green box = results.</t>
  </si>
  <si>
    <t xml:space="preserve">RULES THE CALCULATION FOLLOWS</t>
  </si>
  <si>
    <t xml:space="preserve">• Portfolio WACI = sum of (each fund's rescaled share × its WACI). Shares are rescaled over the funds that have a figure, so they add up to 100%.</t>
  </si>
  <si>
    <t xml:space="preserve">• Scope 1+2 and Scope 1+2+3 are calculated separately and never combined.</t>
  </si>
  <si>
    <t xml:space="preserve">• Figures are used exactly as published. There is no currency conversion: if some funds report per $1m and others per €1m of revenue, the result is flagged as mixed and approximate.</t>
  </si>
  <si>
    <t xml:space="preserve">• Portfolio coverage = value of funds with a figure ÷ total portfolio value. Below 70%, a result is marked 'Indicative only'.</t>
  </si>
  <si>
    <t xml:space="preserve">• Funds without a figure are reported as a gap, never estimated.</t>
  </si>
  <si>
    <t xml:space="preserve">• Data coverage is the share of each fund's own holdings that its WACI is based on, as the fund reports it.</t>
  </si>
  <si>
    <t xml:space="preserve">• This aggregates figures funds already publish. It is not a company-by-company PCAF calculation.</t>
  </si>
  <si>
    <t xml:space="preserve">ABOUT THE EXAMPLE</t>
  </si>
  <si>
    <t xml:space="preserve">The five example funds and all their figures are fictional, chosen only to show how the calculation behaves (including a fund with no figure and a Scope 1+2+3 result below the 70% threshold).</t>
  </si>
  <si>
    <t xml:space="preserve">For information only, not investment advice. Built 5 October 2026.</t>
  </si>
  <si>
    <t xml:space="preserve">Change the blue cells. Everything else updates automatically.</t>
  </si>
  <si>
    <t xml:space="preserve">Amounts are in:</t>
  </si>
  <si>
    <t xml:space="preserve">EUR</t>
  </si>
  <si>
    <t xml:space="preserve">Enter every amount in this currency, as your bank or broker shows it.</t>
  </si>
  <si>
    <t xml:space="preserve">Step 1 – Your funds (inputs)</t>
  </si>
  <si>
    <t xml:space="preserve">Step 2 – Scope 1+2 working</t>
  </si>
  <si>
    <t xml:space="preserve">Step 3 – Scope 1+2+3 working</t>
  </si>
  <si>
    <t xml:space="preserve">Fund name</t>
  </si>
  <si>
    <t xml:space="preserve">WACI Scope 1+2</t>
  </si>
  <si>
    <t xml:space="preserve">WACI Scope 1+2+3</t>
  </si>
  <si>
    <t xml:space="preserve">WACI is per (USD / EUR revenue)</t>
  </si>
  <si>
    <t xml:space="preserve">Data coverage</t>
  </si>
  <si>
    <t xml:space="preserve">Figure date</t>
  </si>
  <si>
    <t xml:space="preserve">Has a figure? (1 = yes)</t>
  </si>
  <si>
    <t xml:space="preserve">Value included</t>
  </si>
  <si>
    <t xml:space="preserve">Rescaled share</t>
  </si>
  <si>
    <t xml:space="preserve">Contribution (share × WACI)</t>
  </si>
  <si>
    <t xml:space="preserve">Example Global Equity Fund</t>
  </si>
  <si>
    <t xml:space="preserve">USD</t>
  </si>
  <si>
    <t xml:space="preserve">Example Europe Equity Fund</t>
  </si>
  <si>
    <t xml:space="preserve">Example Emerging Markets Fund</t>
  </si>
  <si>
    <t xml:space="preserve">Example Clean Energy Fund</t>
  </si>
  <si>
    <t xml:space="preserve">Example Bond Fund</t>
  </si>
  <si>
    <t xml:space="preserve">Total</t>
  </si>
  <si>
    <t xml:space="preserve">↑ always 100%</t>
  </si>
  <si>
    <t xml:space="preserve">↑ sums to the portfolio WACI</t>
  </si>
  <si>
    <t xml:space="preserve">Step 4 – Results</t>
  </si>
  <si>
    <t xml:space="preserve">Measure</t>
  </si>
  <si>
    <t xml:space="preserve">How it's worked out</t>
  </si>
  <si>
    <t xml:space="preserve">Scope 1+2</t>
  </si>
  <si>
    <t xml:space="preserve">Scope 1+2+3</t>
  </si>
  <si>
    <t xml:space="preserve">Total portfolio value</t>
  </si>
  <si>
    <t xml:space="preserve">Sum of all amounts</t>
  </si>
  <si>
    <t xml:space="preserve">Value with a figure</t>
  </si>
  <si>
    <t xml:space="preserve">Sum of amounts for funds with a WACI</t>
  </si>
  <si>
    <t xml:space="preserve">Portfolio coverage</t>
  </si>
  <si>
    <t xml:space="preserve">Value with a figure ÷ total value</t>
  </si>
  <si>
    <t xml:space="preserve">Portfolio WACI</t>
  </si>
  <si>
    <t xml:space="preserve">Sum of contributions (share × WACI)</t>
  </si>
  <si>
    <t xml:space="preserve">Cross-check</t>
  </si>
  <si>
    <t xml:space="preserve">Value-weighted average of WACI, worked out a second way</t>
  </si>
  <si>
    <t xml:space="preserve">Coverage check</t>
  </si>
  <si>
    <t xml:space="preserve">70% or more = reliable; below = indicative only</t>
  </si>
  <si>
    <t xml:space="preserve">WACI currency</t>
  </si>
  <si>
    <t xml:space="preserve">Are all figures per $1m, all per €1m, or mixed?</t>
  </si>
  <si>
    <t xml:space="preserve">Fund data coverage (weighted)</t>
  </si>
  <si>
    <t xml:space="preserve">Average of each fund's reported coverage, weighted by value</t>
  </si>
  <si>
    <t xml:space="preserve">Oldest figure date</t>
  </si>
  <si>
    <t xml:space="preserve">Earliest date among funds used</t>
  </si>
  <si>
    <t xml:space="preserve">Funds with no figure for either scope</t>
  </si>
  <si>
    <t xml:space="preserve">Number of funds (Scope 1+2 column) and their value (Scope 1+2+3 column)</t>
  </si>
  <si>
    <t xml:space="preserve">Unit: tCO2e per $1m or €1m of company revenue, as the funds publish it. No currency conversion is applied.</t>
  </si>
  <si>
    <t xml:space="preserve">How the calculation works, using the example's numbers</t>
  </si>
  <si>
    <t xml:space="preserve">Green numbers are linked live from the 'WACI calculation' tab, so they change when you change the inputs.</t>
  </si>
  <si>
    <t xml:space="preserve">Step</t>
  </si>
  <si>
    <t xml:space="preserve">What happens</t>
  </si>
  <si>
    <t xml:space="preserve">Formula in words</t>
  </si>
  <si>
    <t xml:space="preserve">In the example</t>
  </si>
  <si>
    <t xml:space="preserve">1</t>
  </si>
  <si>
    <t xml:space="preserve">Add up the whole portfolio.</t>
  </si>
  <si>
    <t xml:space="preserve">Total value = sum of all amounts</t>
  </si>
  <si>
    <t xml:space="preserve">2</t>
  </si>
  <si>
    <t xml:space="preserve">Keep only the funds that publish a Scope 1+2 WACI. The bond fund has none, so it drops out.</t>
  </si>
  <si>
    <t xml:space="preserve">Value with a figure = sum of amounts for those funds</t>
  </si>
  <si>
    <t xml:space="preserve">3</t>
  </si>
  <si>
    <t xml:space="preserve">Work out how much of the portfolio has data.</t>
  </si>
  <si>
    <t xml:space="preserve">Coverage = value with a figure ÷ total value</t>
  </si>
  <si>
    <t xml:space="preserve">4</t>
  </si>
  <si>
    <t xml:space="preserve">Rescale each fund's share so the funds with data add up to 100%. Example: the Global Equity fund's share.</t>
  </si>
  <si>
    <t xml:space="preserve">Share = fund amount ÷ value with a figure</t>
  </si>
  <si>
    <t xml:space="preserve">5</t>
  </si>
  <si>
    <t xml:space="preserve">Multiply each fund's share by its WACI. Example: the Global Equity fund's contribution.</t>
  </si>
  <si>
    <t xml:space="preserve">Contribution = share × fund WACI</t>
  </si>
  <si>
    <t xml:space="preserve">6</t>
  </si>
  <si>
    <t xml:space="preserve">Add up the contributions. This is the portfolio WACI.</t>
  </si>
  <si>
    <t xml:space="preserve">Portfolio WACI = sum of contributions</t>
  </si>
  <si>
    <t xml:space="preserve">7</t>
  </si>
  <si>
    <t xml:space="preserve">Check the result is reliable enough.</t>
  </si>
  <si>
    <t xml:space="preserve">Coverage of 70% or more = OK; below = indicative only</t>
  </si>
  <si>
    <t xml:space="preserve">8</t>
  </si>
  <si>
    <t xml:space="preserve">Repeat steps 2–7 for Scope 1+2+3, keeping it separate. Only two example funds report it, so coverage falls below 70%.</t>
  </si>
  <si>
    <t xml:space="preserve">Same method, Scope 1+2+3 column</t>
  </si>
  <si>
    <t xml:space="preserve">8b</t>
  </si>
  <si>
    <t xml:space="preserve">Scope 1+2+3 coverage check.</t>
  </si>
  <si>
    <t xml:space="preserve">Same 70% rule</t>
  </si>
  <si>
    <t xml:space="preserve">Why rescale? A fund without a figure isn't assumed to be zero or average. It's simply left out, and coverage tells you how much was left out.</t>
  </si>
  <si>
    <t xml:space="preserve">Why keep scopes apart? Scope 3 figures are typically several times larger than Scope 1+2, so blending them would distort the result.</t>
  </si>
  <si>
    <t xml:space="preserve">Why no currency conversion? Funds publish WACI per $1m or per €1m of revenue. Version 1 uses figures exactly as published and flags any mix.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</si>
</sst>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;\-#,##0.00;\-"/>
    <numFmt numFmtId="166" formatCode="0.0"/>
    <numFmt numFmtId="167" formatCode="0.0%"/>
    <numFmt numFmtId="168" formatCode="dd\-mmm\-yyyy"/>
    <numFmt numFmtId="169" formatCode="General"/>
    <numFmt numFmtId="170" formatCode="0.0%;\-0.0%;\-"/>
    <numFmt numFmtId="171" formatCode="0.00;\-0.00;\-"/>
    <numFmt numFmtId="172" formatCode="#,##0.00"/>
    <numFmt numFmtId="173" formatCode="0.00"/>
    <numFmt numFmtId="174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4E3D"/>
        <bgColor rgb="FF2F5D62"/>
      </patternFill>
    </fill>
    <fill>
      <patternFill patternType="solid">
        <fgColor rgb="FF2F5D62"/>
        <bgColor rgb="FF1F4E3D"/>
      </patternFill>
    </fill>
    <fill>
      <patternFill patternType="solid">
        <fgColor rgb="FF7F6000"/>
        <bgColor rgb="FF595959"/>
      </patternFill>
    </fill>
    <fill>
      <patternFill patternType="solid">
        <fgColor rgb="FFD6E4E2"/>
        <bgColor rgb="FFDDEBF7"/>
      </patternFill>
    </fill>
    <fill>
      <patternFill patternType="solid">
        <fgColor rgb="FFDDEBF7"/>
        <bgColor rgb="FFD6E4E2"/>
      </patternFill>
    </fill>
    <fill>
      <patternFill patternType="solid">
        <fgColor rgb="FFE2EFDA"/>
        <bgColor rgb="FFDDEBF7"/>
      </patternFill>
    </fill>
    <fill>
      <patternFill patternType="solid">
        <fgColor rgb="FFC6E0B4"/>
        <bgColor rgb="FFD6E4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4E3D"/>
      </top>
      <bottom style="medium">
        <color rgb="FF1F4E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1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5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5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5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D62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23.8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3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7" min="17" style="0" width="15"/>
  </cols>
  <sheetData>
    <row r="1" customFormat="false" ht="17.35" hidden="false" customHeight="false" outlineLevel="0" collapsed="false">
      <c r="A1" s="5" t="s">
        <v>0</v>
      </c>
    </row>
    <row r="2" customFormat="false" ht="15" hidden="false" customHeight="false" outlineLevel="0" collapsed="false">
      <c r="A2" s="6" t="s">
        <v>19</v>
      </c>
    </row>
    <row r="4" customFormat="false" ht="15" hidden="false" customHeight="false" outlineLevel="0" collapsed="false">
      <c r="A4" s="7" t="s">
        <v>20</v>
      </c>
      <c r="B4" s="8" t="s">
        <v>21</v>
      </c>
      <c r="C4" s="6" t="s">
        <v>22</v>
      </c>
    </row>
    <row r="5" customFormat="false" ht="15" hidden="false" customHeight="true" outlineLevel="0" collapsed="false">
      <c r="A5" s="9" t="s">
        <v>23</v>
      </c>
      <c r="B5" s="9"/>
      <c r="C5" s="9"/>
      <c r="D5" s="9"/>
      <c r="E5" s="9"/>
      <c r="F5" s="9"/>
      <c r="G5" s="9"/>
      <c r="I5" s="10" t="s">
        <v>24</v>
      </c>
      <c r="J5" s="10"/>
      <c r="K5" s="10"/>
      <c r="L5" s="10"/>
      <c r="N5" s="11" t="s">
        <v>25</v>
      </c>
      <c r="O5" s="11"/>
      <c r="P5" s="11"/>
      <c r="Q5" s="11"/>
    </row>
    <row r="6" customFormat="false" ht="42" hidden="false" customHeight="true" outlineLevel="0" collapsed="false">
      <c r="A6" s="12" t="s">
        <v>26</v>
      </c>
      <c r="B6" s="12" t="str">
        <f aca="false">"Amount ("&amp;$B$4&amp;")"</f>
        <v>Amount (EUR)</v>
      </c>
      <c r="C6" s="12" t="s">
        <v>27</v>
      </c>
      <c r="D6" s="12" t="s">
        <v>28</v>
      </c>
      <c r="E6" s="12" t="s">
        <v>29</v>
      </c>
      <c r="F6" s="12" t="s">
        <v>30</v>
      </c>
      <c r="G6" s="12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N6" s="14" t="s">
        <v>32</v>
      </c>
      <c r="O6" s="14" t="s">
        <v>33</v>
      </c>
      <c r="P6" s="14" t="s">
        <v>34</v>
      </c>
      <c r="Q6" s="14" t="s">
        <v>35</v>
      </c>
    </row>
    <row r="7" customFormat="false" ht="15" hidden="false" customHeight="false" outlineLevel="0" collapsed="false">
      <c r="A7" s="8" t="s">
        <v>36</v>
      </c>
      <c r="B7" s="15" t="n">
        <v>10000</v>
      </c>
      <c r="C7" s="16" t="n">
        <v>95</v>
      </c>
      <c r="D7" s="16" t="n">
        <v>620</v>
      </c>
      <c r="E7" s="17" t="s">
        <v>37</v>
      </c>
      <c r="F7" s="18" t="n">
        <v>0.99</v>
      </c>
      <c r="G7" s="19" t="n">
        <v>46265</v>
      </c>
      <c r="I7" s="20" t="n">
        <f aca="false">IF(AND(N(B7)&gt;0,N(C7)&gt;0),1,0)</f>
        <v>1</v>
      </c>
      <c r="J7" s="21" t="n">
        <f aca="false">IF(I7=1,B7,0)</f>
        <v>10000</v>
      </c>
      <c r="K7" s="22" t="n">
        <f aca="false">IF($J$17&gt;0,J7/$J$17,0)</f>
        <v>0.444444444444444</v>
      </c>
      <c r="L7" s="23" t="n">
        <f aca="false">K7*IF(I7=1,C7,0)</f>
        <v>42.2222222222222</v>
      </c>
      <c r="N7" s="20" t="n">
        <f aca="false">IF(AND(N(B7)&gt;0,N(D7)&gt;0),1,0)</f>
        <v>1</v>
      </c>
      <c r="O7" s="21" t="n">
        <f aca="false">IF(N7=1,B7,0)</f>
        <v>10000</v>
      </c>
      <c r="P7" s="22" t="n">
        <f aca="false">IF($O$17&gt;0,O7/$O$17,0)</f>
        <v>0.714285714285714</v>
      </c>
      <c r="Q7" s="23" t="n">
        <f aca="false">P7*IF(N7=1,D7,0)</f>
        <v>442.857142857143</v>
      </c>
    </row>
    <row r="8" customFormat="false" ht="15" hidden="false" customHeight="false" outlineLevel="0" collapsed="false">
      <c r="A8" s="8" t="s">
        <v>38</v>
      </c>
      <c r="B8" s="15" t="n">
        <v>6000</v>
      </c>
      <c r="C8" s="16" t="n">
        <v>80</v>
      </c>
      <c r="D8" s="16"/>
      <c r="E8" s="17" t="s">
        <v>37</v>
      </c>
      <c r="F8" s="18" t="n">
        <v>1</v>
      </c>
      <c r="G8" s="19" t="n">
        <v>46265</v>
      </c>
      <c r="I8" s="20" t="n">
        <f aca="false">IF(AND(N(B8)&gt;0,N(C8)&gt;0),1,0)</f>
        <v>1</v>
      </c>
      <c r="J8" s="21" t="n">
        <f aca="false">IF(I8=1,B8,0)</f>
        <v>6000</v>
      </c>
      <c r="K8" s="22" t="n">
        <f aca="false">IF($J$17&gt;0,J8/$J$17,0)</f>
        <v>0.266666666666667</v>
      </c>
      <c r="L8" s="23" t="n">
        <f aca="false">K8*IF(I8=1,C8,0)</f>
        <v>21.3333333333333</v>
      </c>
      <c r="N8" s="20" t="n">
        <f aca="false">IF(AND(N(B8)&gt;0,N(D8)&gt;0),1,0)</f>
        <v>0</v>
      </c>
      <c r="O8" s="21" t="n">
        <f aca="false">IF(N8=1,B8,0)</f>
        <v>0</v>
      </c>
      <c r="P8" s="22" t="n">
        <f aca="false">IF($O$17&gt;0,O8/$O$17,0)</f>
        <v>0</v>
      </c>
      <c r="Q8" s="23" t="n">
        <f aca="false">P8*IF(N8=1,D8,0)</f>
        <v>0</v>
      </c>
    </row>
    <row r="9" customFormat="false" ht="15" hidden="false" customHeight="false" outlineLevel="0" collapsed="false">
      <c r="A9" s="8" t="s">
        <v>39</v>
      </c>
      <c r="B9" s="15" t="n">
        <v>4000</v>
      </c>
      <c r="C9" s="16" t="n">
        <v>260</v>
      </c>
      <c r="D9" s="16" t="n">
        <v>1150</v>
      </c>
      <c r="E9" s="17" t="s">
        <v>37</v>
      </c>
      <c r="F9" s="18" t="n">
        <v>0.95</v>
      </c>
      <c r="G9" s="19" t="n">
        <v>46234</v>
      </c>
      <c r="I9" s="20" t="n">
        <f aca="false">IF(AND(N(B9)&gt;0,N(C9)&gt;0),1,0)</f>
        <v>1</v>
      </c>
      <c r="J9" s="21" t="n">
        <f aca="false">IF(I9=1,B9,0)</f>
        <v>4000</v>
      </c>
      <c r="K9" s="22" t="n">
        <f aca="false">IF($J$17&gt;0,J9/$J$17,0)</f>
        <v>0.177777777777778</v>
      </c>
      <c r="L9" s="23" t="n">
        <f aca="false">K9*IF(I9=1,C9,0)</f>
        <v>46.2222222222222</v>
      </c>
      <c r="N9" s="20" t="n">
        <f aca="false">IF(AND(N(B9)&gt;0,N(D9)&gt;0),1,0)</f>
        <v>1</v>
      </c>
      <c r="O9" s="21" t="n">
        <f aca="false">IF(N9=1,B9,0)</f>
        <v>4000</v>
      </c>
      <c r="P9" s="22" t="n">
        <f aca="false">IF($O$17&gt;0,O9/$O$17,0)</f>
        <v>0.285714285714286</v>
      </c>
      <c r="Q9" s="23" t="n">
        <f aca="false">P9*IF(N9=1,D9,0)</f>
        <v>328.571428571429</v>
      </c>
    </row>
    <row r="10" customFormat="false" ht="15" hidden="false" customHeight="false" outlineLevel="0" collapsed="false">
      <c r="A10" s="8" t="s">
        <v>40</v>
      </c>
      <c r="B10" s="15" t="n">
        <v>2500</v>
      </c>
      <c r="C10" s="16" t="n">
        <v>140</v>
      </c>
      <c r="D10" s="16"/>
      <c r="E10" s="17" t="s">
        <v>37</v>
      </c>
      <c r="F10" s="18" t="n">
        <v>0.92</v>
      </c>
      <c r="G10" s="19" t="n">
        <v>46203</v>
      </c>
      <c r="I10" s="20" t="n">
        <f aca="false">IF(AND(N(B10)&gt;0,N(C10)&gt;0),1,0)</f>
        <v>1</v>
      </c>
      <c r="J10" s="21" t="n">
        <f aca="false">IF(I10=1,B10,0)</f>
        <v>2500</v>
      </c>
      <c r="K10" s="22" t="n">
        <f aca="false">IF($J$17&gt;0,J10/$J$17,0)</f>
        <v>0.111111111111111</v>
      </c>
      <c r="L10" s="23" t="n">
        <f aca="false">K10*IF(I10=1,C10,0)</f>
        <v>15.5555555555556</v>
      </c>
      <c r="N10" s="20" t="n">
        <f aca="false">IF(AND(N(B10)&gt;0,N(D10)&gt;0),1,0)</f>
        <v>0</v>
      </c>
      <c r="O10" s="21" t="n">
        <f aca="false">IF(N10=1,B10,0)</f>
        <v>0</v>
      </c>
      <c r="P10" s="22" t="n">
        <f aca="false">IF($O$17&gt;0,O10/$O$17,0)</f>
        <v>0</v>
      </c>
      <c r="Q10" s="23" t="n">
        <f aca="false">P10*IF(N10=1,D10,0)</f>
        <v>0</v>
      </c>
    </row>
    <row r="11" customFormat="false" ht="15" hidden="false" customHeight="false" outlineLevel="0" collapsed="false">
      <c r="A11" s="8" t="s">
        <v>41</v>
      </c>
      <c r="B11" s="15" t="n">
        <v>2000</v>
      </c>
      <c r="C11" s="16"/>
      <c r="D11" s="16"/>
      <c r="E11" s="17" t="s">
        <v>37</v>
      </c>
      <c r="F11" s="18"/>
      <c r="G11" s="19"/>
      <c r="I11" s="20" t="n">
        <f aca="false">IF(AND(N(B11)&gt;0,N(C11)&gt;0),1,0)</f>
        <v>0</v>
      </c>
      <c r="J11" s="21" t="n">
        <f aca="false">IF(I11=1,B11,0)</f>
        <v>0</v>
      </c>
      <c r="K11" s="22" t="n">
        <f aca="false">IF($J$17&gt;0,J11/$J$17,0)</f>
        <v>0</v>
      </c>
      <c r="L11" s="23" t="n">
        <f aca="false">K11*IF(I11=1,C11,0)</f>
        <v>0</v>
      </c>
      <c r="N11" s="20" t="n">
        <f aca="false">IF(AND(N(B11)&gt;0,N(D11)&gt;0),1,0)</f>
        <v>0</v>
      </c>
      <c r="O11" s="21" t="n">
        <f aca="false">IF(N11=1,B11,0)</f>
        <v>0</v>
      </c>
      <c r="P11" s="22" t="n">
        <f aca="false">IF($O$17&gt;0,O11/$O$17,0)</f>
        <v>0</v>
      </c>
      <c r="Q11" s="23" t="n">
        <f aca="false">P11*IF(N11=1,D11,0)</f>
        <v>0</v>
      </c>
    </row>
    <row r="12" customFormat="false" ht="15" hidden="false" customHeight="false" outlineLevel="0" collapsed="false">
      <c r="A12" s="8"/>
      <c r="B12" s="15"/>
      <c r="C12" s="16"/>
      <c r="D12" s="16"/>
      <c r="E12" s="17"/>
      <c r="F12" s="18"/>
      <c r="G12" s="19"/>
      <c r="I12" s="20" t="n">
        <f aca="false">IF(AND(N(B12)&gt;0,N(C12)&gt;0),1,0)</f>
        <v>0</v>
      </c>
      <c r="J12" s="21" t="n">
        <f aca="false">IF(I12=1,B12,0)</f>
        <v>0</v>
      </c>
      <c r="K12" s="22" t="n">
        <f aca="false">IF($J$17&gt;0,J12/$J$17,0)</f>
        <v>0</v>
      </c>
      <c r="L12" s="23" t="n">
        <f aca="false">K12*IF(I12=1,C12,0)</f>
        <v>0</v>
      </c>
      <c r="N12" s="20" t="n">
        <f aca="false">IF(AND(N(B12)&gt;0,N(D12)&gt;0),1,0)</f>
        <v>0</v>
      </c>
      <c r="O12" s="21" t="n">
        <f aca="false">IF(N12=1,B12,0)</f>
        <v>0</v>
      </c>
      <c r="P12" s="22" t="n">
        <f aca="false">IF($O$17&gt;0,O12/$O$17,0)</f>
        <v>0</v>
      </c>
      <c r="Q12" s="23" t="n">
        <f aca="false">P12*IF(N12=1,D12,0)</f>
        <v>0</v>
      </c>
    </row>
    <row r="13" customFormat="false" ht="15" hidden="false" customHeight="false" outlineLevel="0" collapsed="false">
      <c r="A13" s="8"/>
      <c r="B13" s="15"/>
      <c r="C13" s="16"/>
      <c r="D13" s="16"/>
      <c r="E13" s="17"/>
      <c r="F13" s="18"/>
      <c r="G13" s="19"/>
      <c r="I13" s="20" t="n">
        <f aca="false">IF(AND(N(B13)&gt;0,N(C13)&gt;0),1,0)</f>
        <v>0</v>
      </c>
      <c r="J13" s="21" t="n">
        <f aca="false">IF(I13=1,B13,0)</f>
        <v>0</v>
      </c>
      <c r="K13" s="22" t="n">
        <f aca="false">IF($J$17&gt;0,J13/$J$17,0)</f>
        <v>0</v>
      </c>
      <c r="L13" s="23" t="n">
        <f aca="false">K13*IF(I13=1,C13,0)</f>
        <v>0</v>
      </c>
      <c r="N13" s="20" t="n">
        <f aca="false">IF(AND(N(B13)&gt;0,N(D13)&gt;0),1,0)</f>
        <v>0</v>
      </c>
      <c r="O13" s="21" t="n">
        <f aca="false">IF(N13=1,B13,0)</f>
        <v>0</v>
      </c>
      <c r="P13" s="22" t="n">
        <f aca="false">IF($O$17&gt;0,O13/$O$17,0)</f>
        <v>0</v>
      </c>
      <c r="Q13" s="23" t="n">
        <f aca="false">P13*IF(N13=1,D13,0)</f>
        <v>0</v>
      </c>
    </row>
    <row r="14" customFormat="false" ht="15" hidden="false" customHeight="false" outlineLevel="0" collapsed="false">
      <c r="A14" s="8"/>
      <c r="B14" s="15"/>
      <c r="C14" s="16"/>
      <c r="D14" s="16"/>
      <c r="E14" s="17"/>
      <c r="F14" s="18"/>
      <c r="G14" s="19"/>
      <c r="I14" s="20" t="n">
        <f aca="false">IF(AND(N(B14)&gt;0,N(C14)&gt;0),1,0)</f>
        <v>0</v>
      </c>
      <c r="J14" s="21" t="n">
        <f aca="false">IF(I14=1,B14,0)</f>
        <v>0</v>
      </c>
      <c r="K14" s="22" t="n">
        <f aca="false">IF($J$17&gt;0,J14/$J$17,0)</f>
        <v>0</v>
      </c>
      <c r="L14" s="23" t="n">
        <f aca="false">K14*IF(I14=1,C14,0)</f>
        <v>0</v>
      </c>
      <c r="N14" s="20" t="n">
        <f aca="false">IF(AND(N(B14)&gt;0,N(D14)&gt;0),1,0)</f>
        <v>0</v>
      </c>
      <c r="O14" s="21" t="n">
        <f aca="false">IF(N14=1,B14,0)</f>
        <v>0</v>
      </c>
      <c r="P14" s="22" t="n">
        <f aca="false">IF($O$17&gt;0,O14/$O$17,0)</f>
        <v>0</v>
      </c>
      <c r="Q14" s="23" t="n">
        <f aca="false">P14*IF(N14=1,D14,0)</f>
        <v>0</v>
      </c>
    </row>
    <row r="15" customFormat="false" ht="15" hidden="false" customHeight="false" outlineLevel="0" collapsed="false">
      <c r="A15" s="8"/>
      <c r="B15" s="15"/>
      <c r="C15" s="16"/>
      <c r="D15" s="16"/>
      <c r="E15" s="17"/>
      <c r="F15" s="18"/>
      <c r="G15" s="19"/>
      <c r="I15" s="20" t="n">
        <f aca="false">IF(AND(N(B15)&gt;0,N(C15)&gt;0),1,0)</f>
        <v>0</v>
      </c>
      <c r="J15" s="21" t="n">
        <f aca="false">IF(I15=1,B15,0)</f>
        <v>0</v>
      </c>
      <c r="K15" s="22" t="n">
        <f aca="false">IF($J$17&gt;0,J15/$J$17,0)</f>
        <v>0</v>
      </c>
      <c r="L15" s="23" t="n">
        <f aca="false">K15*IF(I15=1,C15,0)</f>
        <v>0</v>
      </c>
      <c r="N15" s="20" t="n">
        <f aca="false">IF(AND(N(B15)&gt;0,N(D15)&gt;0),1,0)</f>
        <v>0</v>
      </c>
      <c r="O15" s="21" t="n">
        <f aca="false">IF(N15=1,B15,0)</f>
        <v>0</v>
      </c>
      <c r="P15" s="22" t="n">
        <f aca="false">IF($O$17&gt;0,O15/$O$17,0)</f>
        <v>0</v>
      </c>
      <c r="Q15" s="23" t="n">
        <f aca="false">P15*IF(N15=1,D15,0)</f>
        <v>0</v>
      </c>
    </row>
    <row r="16" customFormat="false" ht="15" hidden="false" customHeight="false" outlineLevel="0" collapsed="false">
      <c r="A16" s="8"/>
      <c r="B16" s="15"/>
      <c r="C16" s="16"/>
      <c r="D16" s="16"/>
      <c r="E16" s="17"/>
      <c r="F16" s="18"/>
      <c r="G16" s="19"/>
      <c r="I16" s="20" t="n">
        <f aca="false">IF(AND(N(B16)&gt;0,N(C16)&gt;0),1,0)</f>
        <v>0</v>
      </c>
      <c r="J16" s="21" t="n">
        <f aca="false">IF(I16=1,B16,0)</f>
        <v>0</v>
      </c>
      <c r="K16" s="22" t="n">
        <f aca="false">IF($J$17&gt;0,J16/$J$17,0)</f>
        <v>0</v>
      </c>
      <c r="L16" s="23" t="n">
        <f aca="false">K16*IF(I16=1,C16,0)</f>
        <v>0</v>
      </c>
      <c r="N16" s="20" t="n">
        <f aca="false">IF(AND(N(B16)&gt;0,N(D16)&gt;0),1,0)</f>
        <v>0</v>
      </c>
      <c r="O16" s="21" t="n">
        <f aca="false">IF(N16=1,B16,0)</f>
        <v>0</v>
      </c>
      <c r="P16" s="22" t="n">
        <f aca="false">IF($O$17&gt;0,O16/$O$17,0)</f>
        <v>0</v>
      </c>
      <c r="Q16" s="23" t="n">
        <f aca="false">P16*IF(N16=1,D16,0)</f>
        <v>0</v>
      </c>
    </row>
    <row r="17" customFormat="false" ht="15" hidden="false" customHeight="false" outlineLevel="0" collapsed="false">
      <c r="A17" s="24" t="s">
        <v>42</v>
      </c>
      <c r="B17" s="25" t="n">
        <f aca="false">SUM(B7:B16)</f>
        <v>24500</v>
      </c>
      <c r="I17" s="26" t="n">
        <f aca="false">SUM(I7:I16)</f>
        <v>4</v>
      </c>
      <c r="J17" s="27" t="n">
        <f aca="false">SUM(J7:J16)</f>
        <v>22500</v>
      </c>
      <c r="K17" s="28" t="n">
        <f aca="false">SUM(K7:K16)</f>
        <v>1</v>
      </c>
      <c r="L17" s="29" t="n">
        <f aca="false">SUM(L7:L16)</f>
        <v>125.333333333333</v>
      </c>
      <c r="N17" s="26" t="n">
        <f aca="false">SUM(N7:N16)</f>
        <v>2</v>
      </c>
      <c r="O17" s="27" t="n">
        <f aca="false">SUM(O7:O16)</f>
        <v>14000</v>
      </c>
      <c r="P17" s="28" t="n">
        <f aca="false">SUM(P7:P16)</f>
        <v>1</v>
      </c>
      <c r="Q17" s="29" t="n">
        <f aca="false">SUM(Q7:Q16)</f>
        <v>771.428571428571</v>
      </c>
    </row>
    <row r="18" customFormat="false" ht="15" hidden="false" customHeight="false" outlineLevel="0" collapsed="false">
      <c r="K18" s="6" t="s">
        <v>43</v>
      </c>
      <c r="L18" s="6" t="s">
        <v>44</v>
      </c>
      <c r="P18" s="6" t="s">
        <v>43</v>
      </c>
      <c r="Q18" s="6" t="s">
        <v>44</v>
      </c>
    </row>
    <row r="20" customFormat="false" ht="15" hidden="false" customHeight="true" outlineLevel="0" collapsed="false">
      <c r="A20" s="9" t="s">
        <v>45</v>
      </c>
      <c r="B20" s="9"/>
      <c r="C20" s="9"/>
      <c r="D20" s="9"/>
    </row>
    <row r="21" customFormat="false" ht="15" hidden="false" customHeight="false" outlineLevel="0" collapsed="false">
      <c r="A21" s="12" t="s">
        <v>46</v>
      </c>
      <c r="B21" s="12" t="s">
        <v>47</v>
      </c>
      <c r="C21" s="12" t="s">
        <v>48</v>
      </c>
      <c r="D21" s="12" t="s">
        <v>49</v>
      </c>
    </row>
    <row r="22" customFormat="false" ht="15" hidden="false" customHeight="false" outlineLevel="0" collapsed="false">
      <c r="A22" s="30" t="s">
        <v>50</v>
      </c>
      <c r="B22" s="31" t="s">
        <v>51</v>
      </c>
      <c r="C22" s="32" t="n">
        <f aca="false">B17</f>
        <v>24500</v>
      </c>
      <c r="D22" s="32" t="n">
        <f aca="false">B17</f>
        <v>24500</v>
      </c>
    </row>
    <row r="23" customFormat="false" ht="15" hidden="false" customHeight="false" outlineLevel="0" collapsed="false">
      <c r="A23" s="30" t="s">
        <v>52</v>
      </c>
      <c r="B23" s="31" t="s">
        <v>53</v>
      </c>
      <c r="C23" s="32" t="n">
        <f aca="false">J17</f>
        <v>22500</v>
      </c>
      <c r="D23" s="32" t="n">
        <f aca="false">O17</f>
        <v>14000</v>
      </c>
    </row>
    <row r="24" customFormat="false" ht="15" hidden="false" customHeight="false" outlineLevel="0" collapsed="false">
      <c r="A24" s="30" t="s">
        <v>54</v>
      </c>
      <c r="B24" s="31" t="s">
        <v>55</v>
      </c>
      <c r="C24" s="33" t="n">
        <f aca="false">IF(B17&gt;0,J17/B17,0)</f>
        <v>0.918367346938776</v>
      </c>
      <c r="D24" s="33" t="n">
        <f aca="false">IF(B17&gt;0,O17/B17,0)</f>
        <v>0.571428571428571</v>
      </c>
    </row>
    <row r="25" customFormat="false" ht="15" hidden="false" customHeight="false" outlineLevel="0" collapsed="false">
      <c r="A25" s="34" t="s">
        <v>56</v>
      </c>
      <c r="B25" s="31" t="s">
        <v>57</v>
      </c>
      <c r="C25" s="35" t="n">
        <f aca="false">L17</f>
        <v>125.333333333333</v>
      </c>
      <c r="D25" s="35" t="n">
        <f aca="false">Q17</f>
        <v>771.428571428571</v>
      </c>
    </row>
    <row r="26" customFormat="false" ht="23.85" hidden="false" customHeight="false" outlineLevel="0" collapsed="false">
      <c r="A26" s="30" t="s">
        <v>58</v>
      </c>
      <c r="B26" s="31" t="s">
        <v>59</v>
      </c>
      <c r="C26" s="36" t="n">
        <f aca="false">IF(J17&gt;0,SUMPRODUCT(J7:J16,C7:C16)/J17,0)</f>
        <v>125.333333333333</v>
      </c>
      <c r="D26" s="36" t="n">
        <f aca="false">IF(O17&gt;0,SUMPRODUCT(O7:O16,D7:D16)/O17,0)</f>
        <v>771.428571428571</v>
      </c>
    </row>
    <row r="27" customFormat="false" ht="23.85" hidden="false" customHeight="false" outlineLevel="0" collapsed="false">
      <c r="A27" s="30" t="s">
        <v>60</v>
      </c>
      <c r="B27" s="31" t="s">
        <v>61</v>
      </c>
      <c r="C27" s="37" t="str">
        <f aca="false">IF(J17=0,"No figures",IF(C24&gt;=0.7,"OK (70% or more)","Indicative only (below 70%)"))</f>
        <v>OK (70% or more)</v>
      </c>
      <c r="D27" s="37" t="str">
        <f aca="false">IF(O17=0,"No figures",IF(D24&gt;=0.7,"OK (70% or more)","Indicative only (below 70%)"))</f>
        <v>Indicative only (below 70%)</v>
      </c>
    </row>
    <row r="28" customFormat="false" ht="23.85" hidden="false" customHeight="false" outlineLevel="0" collapsed="false">
      <c r="A28" s="30" t="s">
        <v>62</v>
      </c>
      <c r="B28" s="31" t="s">
        <v>63</v>
      </c>
      <c r="C28" s="37" t="str">
        <f aca="false">IF(SUM(I7:I16)=0,"-",IF(AND(COUNTIFS(E7:E16,"USD",I7:I16,1)&gt;0,COUNTIFS(E7:E16,"EUR",I7:I16,1)&gt;0),"Mixed $ and € – approximate",IF(COUNTIFS(E7:E16,"EUR",I7:I16,1)&gt;0,"All per €1m revenue","All per $1m revenue")))</f>
        <v>All per $1m revenue</v>
      </c>
      <c r="D28" s="37" t="str">
        <f aca="false">IF(SUM(N7:N16)=0,"-",IF(AND(COUNTIFS(E7:E16,"USD",N7:N16,1)&gt;0,COUNTIFS(E7:E16,"EUR",N7:N16,1)&gt;0),"Mixed $ and € – approximate",IF(COUNTIFS(E7:E16,"EUR",N7:N16,1)&gt;0,"All per €1m revenue","All per $1m revenue")))</f>
        <v>All per $1m revenue</v>
      </c>
    </row>
    <row r="29" customFormat="false" ht="23.85" hidden="false" customHeight="false" outlineLevel="0" collapsed="false">
      <c r="A29" s="30" t="s">
        <v>64</v>
      </c>
      <c r="B29" s="31" t="s">
        <v>65</v>
      </c>
      <c r="C29" s="33" t="n">
        <f aca="false">IFERROR(SUMPRODUCT(J7:J16,F7:F16)/SUMIFS(J7:J16,F7:F16,"&gt;0"),"Not reported")</f>
        <v>0.977777777777778</v>
      </c>
      <c r="D29" s="33" t="n">
        <f aca="false">IFERROR(SUMPRODUCT(O7:O16,F7:F16)/SUMIFS(O7:O16,F7:F16,"&gt;0"),"Not reported")</f>
        <v>0.978571428571429</v>
      </c>
    </row>
    <row r="30" customFormat="false" ht="15" hidden="false" customHeight="false" outlineLevel="0" collapsed="false">
      <c r="A30" s="30" t="s">
        <v>66</v>
      </c>
      <c r="B30" s="31" t="s">
        <v>67</v>
      </c>
      <c r="C30" s="38" t="n">
        <f aca="false">IF(COUNTIFS(I7:I16,1,G7:G16,"&gt;0")=0,"No dates",_xlfn.MINIFS(G7:G16,I7:I16,1,G7:G16,"&gt;0"))</f>
        <v>46203</v>
      </c>
      <c r="D30" s="38" t="n">
        <f aca="false">IF(COUNTIFS(N7:N16,1,G7:G16,"&gt;0")=0,"No dates",_xlfn.MINIFS(G7:G16,N7:N16,1,G7:G16,"&gt;0"))</f>
        <v>46234</v>
      </c>
    </row>
    <row r="31" customFormat="false" ht="23.85" hidden="false" customHeight="false" outlineLevel="0" collapsed="false">
      <c r="A31" s="30" t="s">
        <v>68</v>
      </c>
      <c r="B31" s="31" t="s">
        <v>69</v>
      </c>
      <c r="C31" s="39" t="n">
        <f aca="false">COUNTIFS(A7:A16,"&lt;&gt;",I7:I16,0,N7:N16,0,B7:B16,"&gt;0")</f>
        <v>1</v>
      </c>
      <c r="D31" s="32" t="n">
        <f aca="false">SUMIFS(B7:B16,I7:I16,0,N7:N16,0)</f>
        <v>2000</v>
      </c>
    </row>
    <row r="33" customFormat="false" ht="15" hidden="false" customHeight="false" outlineLevel="0" collapsed="false">
      <c r="A33" s="6" t="s">
        <v>70</v>
      </c>
    </row>
  </sheetData>
  <mergeCells count="4">
    <mergeCell ref="A5:G5"/>
    <mergeCell ref="I5:L5"/>
    <mergeCell ref="N5:Q5"/>
    <mergeCell ref="A20:D20"/>
  </mergeCells>
  <dataValidations count="2">
    <dataValidation allowBlank="false" errorStyle="stop" operator="between" showDropDown="false" showErrorMessage="false" showInputMessage="false" sqref="B4" type="list">
      <formula1>"EUR,USD"</formula1>
      <formula2>0</formula2>
    </dataValidation>
    <dataValidation allowBlank="true" errorStyle="stop" operator="between" showDropDown="false" showErrorMessage="false" showInputMessage="false" sqref="E7:E16" type="list">
      <formula1>"USD,EUR"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4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5" t="s">
        <v>71</v>
      </c>
    </row>
    <row r="2" customFormat="false" ht="15" hidden="false" customHeight="false" outlineLevel="0" collapsed="false">
      <c r="A2" s="6" t="s">
        <v>72</v>
      </c>
    </row>
    <row r="4" customFormat="false" ht="15" hidden="false" customHeight="false" outlineLevel="0" collapsed="false">
      <c r="A4" s="40" t="s">
        <v>73</v>
      </c>
      <c r="B4" s="40" t="s">
        <v>74</v>
      </c>
      <c r="C4" s="40" t="s">
        <v>75</v>
      </c>
      <c r="D4" s="40" t="s">
        <v>76</v>
      </c>
    </row>
    <row r="5" customFormat="false" ht="15" hidden="false" customHeight="false" outlineLevel="0" collapsed="false">
      <c r="A5" s="41" t="s">
        <v>77</v>
      </c>
      <c r="B5" s="42" t="s">
        <v>78</v>
      </c>
      <c r="C5" s="42" t="s">
        <v>79</v>
      </c>
      <c r="D5" s="43" t="n">
        <f aca="false">'WACI calculation'!C22</f>
        <v>24500</v>
      </c>
    </row>
    <row r="6" customFormat="false" ht="23.85" hidden="false" customHeight="false" outlineLevel="0" collapsed="false">
      <c r="A6" s="41" t="s">
        <v>80</v>
      </c>
      <c r="B6" s="42" t="s">
        <v>81</v>
      </c>
      <c r="C6" s="42" t="s">
        <v>82</v>
      </c>
      <c r="D6" s="43" t="n">
        <f aca="false">'WACI calculation'!C23</f>
        <v>22500</v>
      </c>
    </row>
    <row r="7" customFormat="false" ht="15" hidden="false" customHeight="false" outlineLevel="0" collapsed="false">
      <c r="A7" s="41" t="s">
        <v>83</v>
      </c>
      <c r="B7" s="42" t="s">
        <v>84</v>
      </c>
      <c r="C7" s="42" t="s">
        <v>85</v>
      </c>
      <c r="D7" s="44" t="n">
        <f aca="false">'WACI calculation'!C24</f>
        <v>0.918367346938776</v>
      </c>
    </row>
    <row r="8" customFormat="false" ht="23.85" hidden="false" customHeight="false" outlineLevel="0" collapsed="false">
      <c r="A8" s="41" t="s">
        <v>86</v>
      </c>
      <c r="B8" s="42" t="s">
        <v>87</v>
      </c>
      <c r="C8" s="42" t="s">
        <v>88</v>
      </c>
      <c r="D8" s="44" t="n">
        <f aca="false">'WACI calculation'!K7</f>
        <v>0.444444444444444</v>
      </c>
    </row>
    <row r="9" customFormat="false" ht="23.85" hidden="false" customHeight="false" outlineLevel="0" collapsed="false">
      <c r="A9" s="41" t="s">
        <v>89</v>
      </c>
      <c r="B9" s="42" t="s">
        <v>90</v>
      </c>
      <c r="C9" s="42" t="s">
        <v>91</v>
      </c>
      <c r="D9" s="45" t="n">
        <f aca="false">'WACI calculation'!L7</f>
        <v>42.2222222222222</v>
      </c>
    </row>
    <row r="10" customFormat="false" ht="15" hidden="false" customHeight="false" outlineLevel="0" collapsed="false">
      <c r="A10" s="41" t="s">
        <v>92</v>
      </c>
      <c r="B10" s="42" t="s">
        <v>93</v>
      </c>
      <c r="C10" s="42" t="s">
        <v>94</v>
      </c>
      <c r="D10" s="45" t="n">
        <f aca="false">'WACI calculation'!C25</f>
        <v>125.333333333333</v>
      </c>
    </row>
    <row r="11" customFormat="false" ht="23.85" hidden="false" customHeight="false" outlineLevel="0" collapsed="false">
      <c r="A11" s="41" t="s">
        <v>95</v>
      </c>
      <c r="B11" s="42" t="s">
        <v>96</v>
      </c>
      <c r="C11" s="42" t="s">
        <v>97</v>
      </c>
      <c r="D11" s="46" t="str">
        <f aca="false">'WACI calculation'!C27</f>
        <v>OK (70% or more)</v>
      </c>
    </row>
    <row r="12" customFormat="false" ht="23.85" hidden="false" customHeight="false" outlineLevel="0" collapsed="false">
      <c r="A12" s="41" t="s">
        <v>98</v>
      </c>
      <c r="B12" s="42" t="s">
        <v>99</v>
      </c>
      <c r="C12" s="42" t="s">
        <v>100</v>
      </c>
      <c r="D12" s="45" t="n">
        <f aca="false">'WACI calculation'!D25</f>
        <v>771.428571428571</v>
      </c>
    </row>
    <row r="13" customFormat="false" ht="15" hidden="false" customHeight="false" outlineLevel="0" collapsed="false">
      <c r="A13" s="41" t="s">
        <v>101</v>
      </c>
      <c r="B13" s="42" t="s">
        <v>102</v>
      </c>
      <c r="C13" s="42" t="s">
        <v>103</v>
      </c>
      <c r="D13" s="46" t="str">
        <f aca="false">'WACI calculation'!D27</f>
        <v>Indicative only (below 70%)</v>
      </c>
    </row>
    <row r="15" customFormat="false" ht="30" hidden="false" customHeight="true" outlineLevel="0" collapsed="false">
      <c r="A15" s="47" t="s">
        <v>104</v>
      </c>
      <c r="B15" s="47"/>
      <c r="C15" s="47"/>
      <c r="D15" s="47"/>
    </row>
    <row r="16" customFormat="false" ht="30" hidden="false" customHeight="true" outlineLevel="0" collapsed="false">
      <c r="A16" s="47" t="s">
        <v>105</v>
      </c>
      <c r="B16" s="47"/>
      <c r="C16" s="47"/>
      <c r="D16" s="47"/>
    </row>
    <row r="17" customFormat="false" ht="30" hidden="false" customHeight="true" outlineLevel="0" collapsed="false">
      <c r="A17" s="47" t="s">
        <v>106</v>
      </c>
      <c r="B17" s="47"/>
      <c r="C17" s="47"/>
      <c r="D17" s="47"/>
    </row>
  </sheetData>
  <mergeCells count="3"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2026-10-06T06:19:23Z</dcterms:created>
  <dc:creator>openpyxl</dc:creator>
  <dc:description/>
  <dc:language>en-US</dc:language>
  <cp:lastModifiedBy/>
  <dcterms:modified xsi:type="dcterms:W3CDTF">2026-10-06T06:19:23Z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